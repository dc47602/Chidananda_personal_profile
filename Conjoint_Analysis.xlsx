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Introduction" sheetId="1" state="visible" r:id="rId3"/>
    <sheet name="2. Design &amp; Ratings" sheetId="2" state="visible" r:id="rId4"/>
    <sheet name="3. Regression" sheetId="3" state="visible" r:id="rId5"/>
    <sheet name="4. Part-Worths" sheetId="4" state="visible" r:id="rId6"/>
    <sheet name="5. Importance" sheetId="5" state="visible" r:id="rId7"/>
    <sheet name="6. Valid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<sst xmlns="http://schemas.openxmlformats.org/spreadsheetml/2006/main" count="276" uniqueCount="142">
  <si>
    <t xml:space="preserve">Conjoint Analysis — Dell Laptop Case Study</t>
  </si>
  <si>
    <t xml:space="preserve">Business Problem</t>
  </si>
  <si>
    <t xml:space="preserve">Dell wants to launch a new 4GB RAM laptop. Lenovo and HP already compete in this space. Conjoint analysis decomposes overall preference into part-worth utilities for each attribute level, telling us (a) what customers value most, and (b) how to configure the product.</t>
  </si>
  <si>
    <t xml:space="preserve">Attributes and Levels</t>
  </si>
  <si>
    <t xml:space="preserve">Attribute</t>
  </si>
  <si>
    <t xml:space="preserve">Levels</t>
  </si>
  <si>
    <t xml:space="preserve">Base Level (reference)</t>
  </si>
  <si>
    <t xml:space="preserve">Brand</t>
  </si>
  <si>
    <t xml:space="preserve">Lenovo, HP, Dell</t>
  </si>
  <si>
    <t xml:space="preserve">Lenovo</t>
  </si>
  <si>
    <t xml:space="preserve">Processor</t>
  </si>
  <si>
    <t xml:space="preserve">Dual core, Quad core</t>
  </si>
  <si>
    <t xml:space="preserve">Dual core</t>
  </si>
  <si>
    <t xml:space="preserve">Screen</t>
  </si>
  <si>
    <t xml:space="preserve">15", 17", 21"</t>
  </si>
  <si>
    <t xml:space="preserve">15"</t>
  </si>
  <si>
    <t xml:space="preserve">RAM</t>
  </si>
  <si>
    <t xml:space="preserve">2 GB, 4 GB, 8 GB</t>
  </si>
  <si>
    <t xml:space="preserve">2 GB</t>
  </si>
  <si>
    <t xml:space="preserve">Price</t>
  </si>
  <si>
    <t xml:space="preserve">Rs. 40,000 | 45,000 | 55,000</t>
  </si>
  <si>
    <t xml:space="preserve">Rs. 40,000</t>
  </si>
  <si>
    <t xml:space="preserve">Full factorial = 3 × 2 × 3 × 3 × 3 = 162 combinations. We use a 16-card orthogonal fractional design plus 3 holdout cards for validation.</t>
  </si>
  <si>
    <t xml:space="preserve">How to use this workbook</t>
  </si>
  <si>
    <t xml:space="preserve">Sheet 2 — Design &amp; Ratings</t>
  </si>
  <si>
    <t xml:space="preserve">16 product cards with dummy-variable encoding. Yellow cells are your preference ratings (0–10). Change any to see live recalculation.</t>
  </si>
  <si>
    <t xml:space="preserve">Sheet 3 — Regression</t>
  </si>
  <si>
    <t xml:space="preserve">Runs OLS via LINEST. Outputs all 9 coefficients + intercept. R-squared shown for fit quality.</t>
  </si>
  <si>
    <t xml:space="preserve">Sheet 4 — Part-Worth Utilities</t>
  </si>
  <si>
    <t xml:space="preserve">Translates regression coefficients into part-worths for each attribute level. Base level = 0.</t>
  </si>
  <si>
    <t xml:space="preserve">Sheet 5 — Attribute Importance</t>
  </si>
  <si>
    <t xml:space="preserve">Calculates % importance per attribute (range method) with bar chart.</t>
  </si>
  <si>
    <t xml:space="preserve">Sheet 6 — Validation</t>
  </si>
  <si>
    <t xml:space="preserve">Predicts ratings for 3 holdout cards using the estimated part-worths. Compare to actual ratings to assess external validity.</t>
  </si>
  <si>
    <t xml:space="preserve">Cell color legend</t>
  </si>
  <si>
    <t xml:space="preserve">Blue text</t>
  </si>
  <si>
    <t xml:space="preserve">Hardcoded inputs (ratings)</t>
  </si>
  <si>
    <t xml:space="preserve">Black text</t>
  </si>
  <si>
    <t xml:space="preserve">Formulas (calculated)</t>
  </si>
  <si>
    <t xml:space="preserve">Yellow fill</t>
  </si>
  <si>
    <t xml:space="preserve">Cells you can edit</t>
  </si>
  <si>
    <t xml:space="preserve">Green fill</t>
  </si>
  <si>
    <t xml:space="preserve">Key output / part-worth</t>
  </si>
  <si>
    <t xml:space="preserve">Orthogonal Design Matrix with Dummy Variables</t>
  </si>
  <si>
    <t xml:space="preserve">Each card shows attribute levels (cols B–F) and the corresponding dummy variable encoding (cols G–O). Yellow cells in column P are preference ratings 0–10 — edit these to test scenarios.</t>
  </si>
  <si>
    <t xml:space="preserve">← Dummy variables (1 if level present, 0 otherwise) →</t>
  </si>
  <si>
    <t xml:space="preserve">Card</t>
  </si>
  <si>
    <t xml:space="preserve">HP</t>
  </si>
  <si>
    <t xml:space="preserve">DL</t>
  </si>
  <si>
    <t xml:space="preserve">Pquad</t>
  </si>
  <si>
    <t xml:space="preserve">S17</t>
  </si>
  <si>
    <t xml:space="preserve">S21</t>
  </si>
  <si>
    <t xml:space="preserve">R4</t>
  </si>
  <si>
    <t xml:space="preserve">R8</t>
  </si>
  <si>
    <t xml:space="preserve">P45</t>
  </si>
  <si>
    <t xml:space="preserve">P55</t>
  </si>
  <si>
    <t xml:space="preserve">Rating</t>
  </si>
  <si>
    <t xml:space="preserve">Dell</t>
  </si>
  <si>
    <t xml:space="preserve">Quad core</t>
  </si>
  <si>
    <t xml:space="preserve">21 inch</t>
  </si>
  <si>
    <t xml:space="preserve">8 GB</t>
  </si>
  <si>
    <t xml:space="preserve">Rs 45000</t>
  </si>
  <si>
    <t xml:space="preserve">17 inch</t>
  </si>
  <si>
    <t xml:space="preserve">Rs 40000</t>
  </si>
  <si>
    <t xml:space="preserve">4 GB</t>
  </si>
  <si>
    <t xml:space="preserve">15 inch</t>
  </si>
  <si>
    <t xml:space="preserve">Rs 55000</t>
  </si>
  <si>
    <t xml:space="preserve">Note:</t>
  </si>
  <si>
    <t xml:space="preserve">Pre-filled ratings reflect plausible consumer preferences (premium brand, more cores, bigger screen, more RAM, lower price). Edit any rating to see how part-worths shift.</t>
  </si>
  <si>
    <t xml:space="preserve">OLS Regression — Estimating Part-Worth Coefficients</t>
  </si>
  <si>
    <t xml:space="preserve">Model</t>
  </si>
  <si>
    <t xml:space="preserve">Rating = α + βHP·HP + βDL·DL + βPquad·Pquad + βS17·S17 + βS21·S21 + βR4·R4 + βR8·R8 + βP45·P45 + βP55·P55 + ε</t>
  </si>
  <si>
    <t xml:space="preserve">Coefficients (from LINEST on Sheet 2)</t>
  </si>
  <si>
    <t xml:space="preserve">Variable</t>
  </si>
  <si>
    <t xml:space="preserve">Coefficient</t>
  </si>
  <si>
    <t xml:space="preserve">Meaning</t>
  </si>
  <si>
    <t xml:space="preserve">Intercept (α)</t>
  </si>
  <si>
    <t xml:space="preserve">Base utility: Lenovo, Dual core, 15", 2 GB, Rs 40,000</t>
  </si>
  <si>
    <t xml:space="preserve">βHP</t>
  </si>
  <si>
    <t xml:space="preserve">HP vs Lenovo (brand)</t>
  </si>
  <si>
    <t xml:space="preserve">βDL</t>
  </si>
  <si>
    <t xml:space="preserve">Dell vs Lenovo (brand)</t>
  </si>
  <si>
    <t xml:space="preserve">βPquad</t>
  </si>
  <si>
    <t xml:space="preserve">Quad core vs Dual core (processor)</t>
  </si>
  <si>
    <t xml:space="preserve">βS17</t>
  </si>
  <si>
    <t xml:space="preserve">17" vs 15" (screen)</t>
  </si>
  <si>
    <t xml:space="preserve">βS21</t>
  </si>
  <si>
    <t xml:space="preserve">21" vs 15" (screen)</t>
  </si>
  <si>
    <t xml:space="preserve">βR4</t>
  </si>
  <si>
    <t xml:space="preserve">4 GB vs 2 GB (RAM)</t>
  </si>
  <si>
    <t xml:space="preserve">βR8</t>
  </si>
  <si>
    <t xml:space="preserve">8 GB vs 2 GB (RAM)</t>
  </si>
  <si>
    <t xml:space="preserve">βP45</t>
  </si>
  <si>
    <t xml:space="preserve">Rs 45,000 vs Rs 40,000 (price)</t>
  </si>
  <si>
    <t xml:space="preserve">βP55</t>
  </si>
  <si>
    <t xml:space="preserve">Rs 55,000 vs Rs 40,000 (price)</t>
  </si>
  <si>
    <t xml:space="preserve">Model fit</t>
  </si>
  <si>
    <t xml:space="preserve">R²</t>
  </si>
  <si>
    <t xml:space="preserve">Proportion of preference variance explained by the model</t>
  </si>
  <si>
    <t xml:space="preserve">Technical note</t>
  </si>
  <si>
    <t xml:space="preserve">LINEST returns coefficients in REVERSE order of the X-variable columns. We use INDEX(LINEST(...),1,n) to pull each one. The X range on Sheet 2 is columns G–O (HP, DL, Pquad, S17, S21, R4, R8, P45, P55), so index 9 = HP and index 1 = P55.</t>
  </si>
  <si>
    <t xml:space="preserve">Part-Worth Utilities by Attribute Level</t>
  </si>
  <si>
    <t xml:space="preserve">Part-worth = utility contribution of a specific level. The base (reference) level is set to 0; other levels = base + regression coefficient. Higher = more preferred.</t>
  </si>
  <si>
    <t xml:space="preserve">Level</t>
  </si>
  <si>
    <t xml:space="preserve">Part-Worth</t>
  </si>
  <si>
    <t xml:space="preserve">Notes</t>
  </si>
  <si>
    <t xml:space="preserve">Base level</t>
  </si>
  <si>
    <t xml:space="preserve">From βHP</t>
  </si>
  <si>
    <t xml:space="preserve">From βDL</t>
  </si>
  <si>
    <t xml:space="preserve">From βPquad</t>
  </si>
  <si>
    <t xml:space="preserve">From βS17</t>
  </si>
  <si>
    <t xml:space="preserve">From βS21</t>
  </si>
  <si>
    <t xml:space="preserve">From βR4</t>
  </si>
  <si>
    <t xml:space="preserve">From βR8</t>
  </si>
  <si>
    <t xml:space="preserve">Rs 40,000</t>
  </si>
  <si>
    <t xml:space="preserve">Rs 45,000</t>
  </si>
  <si>
    <t xml:space="preserve">From βP45</t>
  </si>
  <si>
    <t xml:space="preserve">Rs 55,000</t>
  </si>
  <si>
    <t xml:space="preserve">From βP55</t>
  </si>
  <si>
    <t xml:space="preserve">How to read</t>
  </si>
  <si>
    <t xml:space="preserve">A larger part-worth means the level adds more utility. Negative price part-worths are expected — higher prices reduce preference. The base level's part-worth is 0 by convention; all other levels are measured relative to it. To compute the total utility of any laptop configuration, sum the part-worths of its five levels.</t>
  </si>
  <si>
    <t xml:space="preserve">Attribute Importance — Range Method</t>
  </si>
  <si>
    <t xml:space="preserve">Importance of an attribute = range of its part-worths (max − min) divided by the sum of ranges across all attributes. Tells us how much each attribute drives preference.</t>
  </si>
  <si>
    <t xml:space="preserve">Max part-worth</t>
  </si>
  <si>
    <t xml:space="preserve">Min part-worth</t>
  </si>
  <si>
    <t xml:space="preserve">Range</t>
  </si>
  <si>
    <t xml:space="preserve">Importance %</t>
  </si>
  <si>
    <t xml:space="preserve">Total</t>
  </si>
  <si>
    <t xml:space="preserve">Interpretation</t>
  </si>
  <si>
    <t xml:space="preserve">The attribute with the highest importance % is the strongest preference driver and should anchor product positioning and messaging. The attribute with the lowest is a candidate to standardize or take cost out of, since customers don't reward variation in it.</t>
  </si>
  <si>
    <t xml:space="preserve">Holdout Validation — Predicting Ratings for 3 New Cards</t>
  </si>
  <si>
    <t xml:space="preserve">Use the part-worths estimated from the 16 training cards to predict ratings on 3 holdout cards. Compare predicted vs. actual to assess external validity.</t>
  </si>
  <si>
    <t xml:space="preserve">Predicted</t>
  </si>
  <si>
    <t xml:space="preserve">Actual</t>
  </si>
  <si>
    <t xml:space="preserve">Error</t>
  </si>
  <si>
    <t xml:space="preserve">Mean Absolute Error (MAE)</t>
  </si>
  <si>
    <t xml:space="preserve">Correlation (Predicted vs Actual)</t>
  </si>
  <si>
    <t xml:space="preserve">How to interpret</t>
  </si>
  <si>
    <t xml:space="preserve">•</t>
  </si>
  <si>
    <t xml:space="preserve">Correlation &gt; 0.8 → model generalizes well to new product configurations</t>
  </si>
  <si>
    <t xml:space="preserve">MAE close to 0 → predictions are accurate in absolute terms</t>
  </si>
  <si>
    <t xml:space="preserve">If both fail, the model may be over-fit to the 16 training cards or the design may need more variation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</si>
</sst>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%"/>
    <numFmt numFmtId="167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6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9F9F9"/>
      </patternFill>
    </fill>
    <fill>
      <patternFill patternType="solid">
        <fgColor rgb="FFE2EFDA"/>
        <bgColor rgb="FFFFF2CC"/>
      </patternFill>
    </fill>
    <fill>
      <patternFill patternType="solid">
        <fgColor rgb="FF2E75B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0C0C0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Attribute Importance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'5. Importance'!E5</c:f>
              <c:strCache>
                <c:ptCount val="1"/>
                <c:pt idx="0">
                  <c:v>Importance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Importance'!$A$6:$A$10</c:f>
              <c:strCache>
                <c:ptCount val="5"/>
                <c:pt idx="0">
                  <c:v>Brand</c:v>
                </c:pt>
                <c:pt idx="1">
                  <c:v>Processor</c:v>
                </c:pt>
                <c:pt idx="2">
                  <c:v>Screen</c:v>
                </c:pt>
                <c:pt idx="3">
                  <c:v>RAM</c:v>
                </c:pt>
                <c:pt idx="4">
                  <c:v>Price</c:v>
                </c:pt>
              </c:strCache>
            </c:strRef>
          </c:cat>
          <c:val>
            <c:numRef>
              <c:f>'5. Importance'!$E$6:$E$10</c:f>
              <c:numCache>
                <c:formatCode>0.0%</c:formatCode>
                <c:ptCount val="5"/>
                <c:pt idx="0">
                  <c:v>0.210084033613445</c:v>
                </c:pt>
                <c:pt idx="1">
                  <c:v>0.168067226890756</c:v>
                </c:pt>
                <c:pt idx="2">
                  <c:v>0.142857142857143</c:v>
                </c:pt>
                <c:pt idx="3">
                  <c:v>0.235294117647059</c:v>
                </c:pt>
                <c:pt idx="4">
                  <c:v>0.243697478991597</c:v>
                </c:pt>
              </c:numCache>
            </c:numRef>
          </c:val>
        </c:ser>
        <c:gapWidth val="150"/>
        <c:overlap val="0"/>
        <c:axId val="70053194"/>
        <c:axId val="75713539"/>
      </c:barChart>
      <c:catAx>
        <c:axId val="7005319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Importance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13539"/>
        <c:crosses val="autoZero"/>
        <c:auto val="1"/>
        <c:lblAlgn val="ctr"/>
        <c:lblOffset val="100"/>
        <c:noMultiLvlLbl val="0"/>
      </c:catAx>
      <c:valAx>
        <c:axId val="757135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Attribute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531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130680</xdr:rowOff>
    </xdr:from>
    <xdr:to>
      <xdr:col>6</xdr:col>
      <xdr:colOff>370440</xdr:colOff>
      <xdr:row>31</xdr:row>
      <xdr:rowOff>110880</xdr:rowOff>
    </xdr:to>
    <xdr:graphicFrame>
      <xdr:nvGraphicFramePr>
        <xdr:cNvPr id="0" name="Chart 1"/>
        <xdr:cNvGraphicFramePr/>
      </xdr:nvGraphicFramePr>
      <xdr:xfrm>
        <a:off x="0" y="2476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</row>
    <row r="8" customFormat="false" ht="15" hidden="false" customHeight="false" outlineLevel="0" collapsed="false">
      <c r="A8" s="2" t="s">
        <v>3</v>
      </c>
    </row>
    <row r="9" customFormat="false" ht="15" hidden="false" customHeight="false" outlineLevel="0" collapsed="false">
      <c r="A9" s="4" t="s">
        <v>4</v>
      </c>
      <c r="B9" s="4" t="s">
        <v>5</v>
      </c>
      <c r="C9" s="4" t="s">
        <v>6</v>
      </c>
    </row>
    <row r="10" customFormat="false" ht="15" hidden="false" customHeight="false" outlineLevel="0" collapsed="false">
      <c r="A10" s="5" t="s">
        <v>7</v>
      </c>
      <c r="B10" s="6" t="s">
        <v>8</v>
      </c>
      <c r="C10" s="6" t="s">
        <v>9</v>
      </c>
    </row>
    <row r="11" customFormat="false" ht="15" hidden="false" customHeight="false" outlineLevel="0" collapsed="false">
      <c r="A11" s="5" t="s">
        <v>10</v>
      </c>
      <c r="B11" s="6" t="s">
        <v>11</v>
      </c>
      <c r="C11" s="6" t="s">
        <v>12</v>
      </c>
    </row>
    <row r="12" customFormat="false" ht="15" hidden="false" customHeight="false" outlineLevel="0" collapsed="false">
      <c r="A12" s="5" t="s">
        <v>13</v>
      </c>
      <c r="B12" s="6" t="s">
        <v>14</v>
      </c>
      <c r="C12" s="6" t="s">
        <v>15</v>
      </c>
    </row>
    <row r="13" customFormat="false" ht="15" hidden="false" customHeight="false" outlineLevel="0" collapsed="false">
      <c r="A13" s="5" t="s">
        <v>16</v>
      </c>
      <c r="B13" s="6" t="s">
        <v>17</v>
      </c>
      <c r="C13" s="6" t="s">
        <v>18</v>
      </c>
    </row>
    <row r="14" customFormat="false" ht="15" hidden="false" customHeight="false" outlineLevel="0" collapsed="false">
      <c r="A14" s="5" t="s">
        <v>19</v>
      </c>
      <c r="B14" s="6" t="s">
        <v>20</v>
      </c>
      <c r="C14" s="6" t="s">
        <v>21</v>
      </c>
    </row>
    <row r="17" customFormat="false" ht="15" hidden="false" customHeight="true" outlineLevel="0" collapsed="false">
      <c r="A17" s="7" t="s">
        <v>22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</row>
    <row r="20" customFormat="false" ht="15" hidden="false" customHeight="false" outlineLevel="0" collapsed="false">
      <c r="A20" s="2" t="s">
        <v>23</v>
      </c>
    </row>
    <row r="21" customFormat="false" ht="30" hidden="false" customHeight="true" outlineLevel="0" collapsed="false">
      <c r="A21" s="8" t="s">
        <v>24</v>
      </c>
      <c r="B21" s="3" t="s">
        <v>25</v>
      </c>
      <c r="C21" s="3"/>
      <c r="D21" s="3"/>
      <c r="E21" s="3"/>
      <c r="F21" s="3"/>
      <c r="G21" s="3"/>
    </row>
    <row r="22" customFormat="false" ht="30" hidden="false" customHeight="true" outlineLevel="0" collapsed="false">
      <c r="A22" s="8" t="s">
        <v>26</v>
      </c>
      <c r="B22" s="3" t="s">
        <v>27</v>
      </c>
      <c r="C22" s="3"/>
      <c r="D22" s="3"/>
      <c r="E22" s="3"/>
      <c r="F22" s="3"/>
      <c r="G22" s="3"/>
    </row>
    <row r="23" customFormat="false" ht="30" hidden="false" customHeight="true" outlineLevel="0" collapsed="false">
      <c r="A23" s="8" t="s">
        <v>28</v>
      </c>
      <c r="B23" s="3" t="s">
        <v>29</v>
      </c>
      <c r="C23" s="3"/>
      <c r="D23" s="3"/>
      <c r="E23" s="3"/>
      <c r="F23" s="3"/>
      <c r="G23" s="3"/>
    </row>
    <row r="24" customFormat="false" ht="30" hidden="false" customHeight="true" outlineLevel="0" collapsed="false">
      <c r="A24" s="8" t="s">
        <v>30</v>
      </c>
      <c r="B24" s="3" t="s">
        <v>31</v>
      </c>
      <c r="C24" s="3"/>
      <c r="D24" s="3"/>
      <c r="E24" s="3"/>
      <c r="F24" s="3"/>
      <c r="G24" s="3"/>
    </row>
    <row r="25" customFormat="false" ht="30" hidden="false" customHeight="true" outlineLevel="0" collapsed="false">
      <c r="A25" s="8" t="s">
        <v>32</v>
      </c>
      <c r="B25" s="3" t="s">
        <v>33</v>
      </c>
      <c r="C25" s="3"/>
      <c r="D25" s="3"/>
      <c r="E25" s="3"/>
      <c r="F25" s="3"/>
      <c r="G25" s="3"/>
    </row>
    <row r="28" customFormat="false" ht="15" hidden="false" customHeight="false" outlineLevel="0" collapsed="false">
      <c r="A28" s="2" t="s">
        <v>34</v>
      </c>
    </row>
    <row r="29" customFormat="false" ht="15" hidden="false" customHeight="false" outlineLevel="0" collapsed="false">
      <c r="A29" s="9" t="s">
        <v>35</v>
      </c>
      <c r="B29" s="6" t="s">
        <v>36</v>
      </c>
      <c r="C29" s="6"/>
      <c r="D29" s="6"/>
      <c r="E29" s="6"/>
      <c r="F29" s="6"/>
      <c r="G29" s="6"/>
    </row>
    <row r="30" customFormat="false" ht="15" hidden="false" customHeight="false" outlineLevel="0" collapsed="false">
      <c r="A30" s="10" t="s">
        <v>37</v>
      </c>
      <c r="B30" s="6" t="s">
        <v>38</v>
      </c>
      <c r="C30" s="6"/>
      <c r="D30" s="6"/>
      <c r="E30" s="6"/>
      <c r="F30" s="6"/>
      <c r="G30" s="6"/>
    </row>
    <row r="31" customFormat="false" ht="15" hidden="false" customHeight="false" outlineLevel="0" collapsed="false">
      <c r="A31" s="11" t="s">
        <v>39</v>
      </c>
      <c r="B31" s="6" t="s">
        <v>40</v>
      </c>
      <c r="C31" s="6"/>
      <c r="D31" s="6"/>
      <c r="E31" s="6"/>
      <c r="F31" s="6"/>
      <c r="G31" s="6"/>
    </row>
    <row r="32" customFormat="false" ht="15" hidden="false" customHeight="false" outlineLevel="0" collapsed="false">
      <c r="A32" s="12" t="s">
        <v>41</v>
      </c>
      <c r="B32" s="6" t="s">
        <v>42</v>
      </c>
      <c r="C32" s="6"/>
      <c r="D32" s="6"/>
      <c r="E32" s="6"/>
      <c r="F32" s="6"/>
      <c r="G32" s="6"/>
    </row>
  </sheetData>
  <mergeCells count="12">
    <mergeCell ref="A1:G1"/>
    <mergeCell ref="A4:G6"/>
    <mergeCell ref="A17:G18"/>
    <mergeCell ref="B21:G21"/>
    <mergeCell ref="B22:G22"/>
    <mergeCell ref="B23:G23"/>
    <mergeCell ref="B24:G24"/>
    <mergeCell ref="B25:G25"/>
    <mergeCell ref="B29:G29"/>
    <mergeCell ref="B30:G30"/>
    <mergeCell ref="B31:G31"/>
    <mergeCell ref="B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16" min="7" style="0" width="8"/>
  </cols>
  <sheetData>
    <row r="1" customFormat="false" ht="19.7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7" t="s">
        <v>44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customFormat="false" ht="15" hidden="false" customHeight="false" outlineLevel="0" collapsed="false">
      <c r="G4" s="13" t="s">
        <v>45</v>
      </c>
      <c r="H4" s="13"/>
      <c r="I4" s="13"/>
      <c r="J4" s="13"/>
      <c r="K4" s="13"/>
      <c r="L4" s="13"/>
      <c r="M4" s="13"/>
      <c r="N4" s="13"/>
      <c r="O4" s="13"/>
    </row>
    <row r="5" customFormat="false" ht="15" hidden="false" customHeight="false" outlineLevel="0" collapsed="false">
      <c r="A5" s="4" t="s">
        <v>46</v>
      </c>
      <c r="B5" s="4" t="s">
        <v>7</v>
      </c>
      <c r="C5" s="4" t="s">
        <v>10</v>
      </c>
      <c r="D5" s="4" t="s">
        <v>13</v>
      </c>
      <c r="E5" s="4" t="s">
        <v>16</v>
      </c>
      <c r="F5" s="4" t="s">
        <v>19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 t="s">
        <v>52</v>
      </c>
      <c r="M5" s="4" t="s">
        <v>53</v>
      </c>
      <c r="N5" s="4" t="s">
        <v>54</v>
      </c>
      <c r="O5" s="4" t="s">
        <v>55</v>
      </c>
      <c r="P5" s="4" t="s">
        <v>56</v>
      </c>
    </row>
    <row r="6" customFormat="false" ht="15" hidden="false" customHeight="false" outlineLevel="0" collapsed="false">
      <c r="A6" s="5" t="n">
        <v>1</v>
      </c>
      <c r="B6" s="10" t="s">
        <v>57</v>
      </c>
      <c r="C6" s="10" t="s">
        <v>58</v>
      </c>
      <c r="D6" s="10" t="s">
        <v>59</v>
      </c>
      <c r="E6" s="10" t="s">
        <v>60</v>
      </c>
      <c r="F6" s="10" t="s">
        <v>61</v>
      </c>
      <c r="G6" s="10" t="n">
        <f aca="false">IF(B6="HP",1,0)</f>
        <v>0</v>
      </c>
      <c r="H6" s="10" t="n">
        <f aca="false">IF(B6="Dell",1,0)</f>
        <v>1</v>
      </c>
      <c r="I6" s="10" t="n">
        <f aca="false">IF(C6="Quad core",1,0)</f>
        <v>1</v>
      </c>
      <c r="J6" s="10" t="n">
        <f aca="false">IF(D6="17 inch",1,0)</f>
        <v>0</v>
      </c>
      <c r="K6" s="10" t="n">
        <f aca="false">IF(D6="21 inch",1,0)</f>
        <v>1</v>
      </c>
      <c r="L6" s="10" t="n">
        <f aca="false">IF(E6="4 GB",1,0)</f>
        <v>0</v>
      </c>
      <c r="M6" s="10" t="n">
        <f aca="false">IF(E6="8 GB",1,0)</f>
        <v>1</v>
      </c>
      <c r="N6" s="10" t="n">
        <f aca="false">IF(F6="Rs 45000",1,0)</f>
        <v>1</v>
      </c>
      <c r="O6" s="10" t="n">
        <f aca="false">IF(F6="Rs 55000",1,0)</f>
        <v>0</v>
      </c>
      <c r="P6" s="9" t="n">
        <v>9</v>
      </c>
    </row>
    <row r="7" customFormat="false" ht="15" hidden="false" customHeight="false" outlineLevel="0" collapsed="false">
      <c r="A7" s="5" t="n">
        <v>2</v>
      </c>
      <c r="B7" s="10" t="s">
        <v>47</v>
      </c>
      <c r="C7" s="10" t="s">
        <v>12</v>
      </c>
      <c r="D7" s="10" t="s">
        <v>62</v>
      </c>
      <c r="E7" s="10" t="s">
        <v>60</v>
      </c>
      <c r="F7" s="10" t="s">
        <v>63</v>
      </c>
      <c r="G7" s="10" t="n">
        <f aca="false">IF(B7="HP",1,0)</f>
        <v>1</v>
      </c>
      <c r="H7" s="10" t="n">
        <f aca="false">IF(B7="Dell",1,0)</f>
        <v>0</v>
      </c>
      <c r="I7" s="10" t="n">
        <f aca="false">IF(C7="Quad core",1,0)</f>
        <v>0</v>
      </c>
      <c r="J7" s="10" t="n">
        <f aca="false">IF(D7="17 inch",1,0)</f>
        <v>1</v>
      </c>
      <c r="K7" s="10" t="n">
        <f aca="false">IF(D7="21 inch",1,0)</f>
        <v>0</v>
      </c>
      <c r="L7" s="10" t="n">
        <f aca="false">IF(E7="4 GB",1,0)</f>
        <v>0</v>
      </c>
      <c r="M7" s="10" t="n">
        <f aca="false">IF(E7="8 GB",1,0)</f>
        <v>1</v>
      </c>
      <c r="N7" s="10" t="n">
        <f aca="false">IF(F7="Rs 45000",1,0)</f>
        <v>0</v>
      </c>
      <c r="O7" s="10" t="n">
        <f aca="false">IF(F7="Rs 55000",1,0)</f>
        <v>0</v>
      </c>
      <c r="P7" s="9" t="n">
        <v>7</v>
      </c>
    </row>
    <row r="8" customFormat="false" ht="15" hidden="false" customHeight="false" outlineLevel="0" collapsed="false">
      <c r="A8" s="5" t="n">
        <v>3</v>
      </c>
      <c r="B8" s="10" t="s">
        <v>9</v>
      </c>
      <c r="C8" s="10" t="s">
        <v>58</v>
      </c>
      <c r="D8" s="10" t="s">
        <v>59</v>
      </c>
      <c r="E8" s="10" t="s">
        <v>64</v>
      </c>
      <c r="F8" s="10" t="s">
        <v>63</v>
      </c>
      <c r="G8" s="10" t="n">
        <f aca="false">IF(B8="HP",1,0)</f>
        <v>0</v>
      </c>
      <c r="H8" s="10" t="n">
        <f aca="false">IF(B8="Dell",1,0)</f>
        <v>0</v>
      </c>
      <c r="I8" s="10" t="n">
        <f aca="false">IF(C8="Quad core",1,0)</f>
        <v>1</v>
      </c>
      <c r="J8" s="10" t="n">
        <f aca="false">IF(D8="17 inch",1,0)</f>
        <v>0</v>
      </c>
      <c r="K8" s="10" t="n">
        <f aca="false">IF(D8="21 inch",1,0)</f>
        <v>1</v>
      </c>
      <c r="L8" s="10" t="n">
        <f aca="false">IF(E8="4 GB",1,0)</f>
        <v>1</v>
      </c>
      <c r="M8" s="10" t="n">
        <f aca="false">IF(E8="8 GB",1,0)</f>
        <v>0</v>
      </c>
      <c r="N8" s="10" t="n">
        <f aca="false">IF(F8="Rs 45000",1,0)</f>
        <v>0</v>
      </c>
      <c r="O8" s="10" t="n">
        <f aca="false">IF(F8="Rs 55000",1,0)</f>
        <v>0</v>
      </c>
      <c r="P8" s="9" t="n">
        <v>7</v>
      </c>
    </row>
    <row r="9" customFormat="false" ht="15" hidden="false" customHeight="false" outlineLevel="0" collapsed="false">
      <c r="A9" s="5" t="n">
        <v>4</v>
      </c>
      <c r="B9" s="10" t="s">
        <v>47</v>
      </c>
      <c r="C9" s="10" t="s">
        <v>58</v>
      </c>
      <c r="D9" s="10" t="s">
        <v>65</v>
      </c>
      <c r="E9" s="10" t="s">
        <v>18</v>
      </c>
      <c r="F9" s="10" t="s">
        <v>61</v>
      </c>
      <c r="G9" s="10" t="n">
        <f aca="false">IF(B9="HP",1,0)</f>
        <v>1</v>
      </c>
      <c r="H9" s="10" t="n">
        <f aca="false">IF(B9="Dell",1,0)</f>
        <v>0</v>
      </c>
      <c r="I9" s="10" t="n">
        <f aca="false">IF(C9="Quad core",1,0)</f>
        <v>1</v>
      </c>
      <c r="J9" s="10" t="n">
        <f aca="false">IF(D9="17 inch",1,0)</f>
        <v>0</v>
      </c>
      <c r="K9" s="10" t="n">
        <f aca="false">IF(D9="21 inch",1,0)</f>
        <v>0</v>
      </c>
      <c r="L9" s="10" t="n">
        <f aca="false">IF(E9="4 GB",1,0)</f>
        <v>0</v>
      </c>
      <c r="M9" s="10" t="n">
        <f aca="false">IF(E9="8 GB",1,0)</f>
        <v>0</v>
      </c>
      <c r="N9" s="10" t="n">
        <f aca="false">IF(F9="Rs 45000",1,0)</f>
        <v>1</v>
      </c>
      <c r="O9" s="10" t="n">
        <f aca="false">IF(F9="Rs 55000",1,0)</f>
        <v>0</v>
      </c>
      <c r="P9" s="9" t="n">
        <v>5.5</v>
      </c>
    </row>
    <row r="10" customFormat="false" ht="15" hidden="false" customHeight="false" outlineLevel="0" collapsed="false">
      <c r="A10" s="5" t="n">
        <v>5</v>
      </c>
      <c r="B10" s="10" t="s">
        <v>9</v>
      </c>
      <c r="C10" s="10" t="s">
        <v>58</v>
      </c>
      <c r="D10" s="10" t="s">
        <v>65</v>
      </c>
      <c r="E10" s="10" t="s">
        <v>60</v>
      </c>
      <c r="F10" s="10" t="s">
        <v>63</v>
      </c>
      <c r="G10" s="10" t="n">
        <f aca="false">IF(B10="HP",1,0)</f>
        <v>0</v>
      </c>
      <c r="H10" s="10" t="n">
        <f aca="false">IF(B10="Dell",1,0)</f>
        <v>0</v>
      </c>
      <c r="I10" s="10" t="n">
        <f aca="false">IF(C10="Quad core",1,0)</f>
        <v>1</v>
      </c>
      <c r="J10" s="10" t="n">
        <f aca="false">IF(D10="17 inch",1,0)</f>
        <v>0</v>
      </c>
      <c r="K10" s="10" t="n">
        <f aca="false">IF(D10="21 inch",1,0)</f>
        <v>0</v>
      </c>
      <c r="L10" s="10" t="n">
        <f aca="false">IF(E10="4 GB",1,0)</f>
        <v>0</v>
      </c>
      <c r="M10" s="10" t="n">
        <f aca="false">IF(E10="8 GB",1,0)</f>
        <v>1</v>
      </c>
      <c r="N10" s="10" t="n">
        <f aca="false">IF(F10="Rs 45000",1,0)</f>
        <v>0</v>
      </c>
      <c r="O10" s="10" t="n">
        <f aca="false">IF(F10="Rs 55000",1,0)</f>
        <v>0</v>
      </c>
      <c r="P10" s="9" t="n">
        <v>7</v>
      </c>
    </row>
    <row r="11" customFormat="false" ht="15" hidden="false" customHeight="false" outlineLevel="0" collapsed="false">
      <c r="A11" s="5" t="n">
        <v>6</v>
      </c>
      <c r="B11" s="10" t="s">
        <v>9</v>
      </c>
      <c r="C11" s="10" t="s">
        <v>12</v>
      </c>
      <c r="D11" s="10" t="s">
        <v>65</v>
      </c>
      <c r="E11" s="10" t="s">
        <v>60</v>
      </c>
      <c r="F11" s="10" t="s">
        <v>61</v>
      </c>
      <c r="G11" s="10" t="n">
        <f aca="false">IF(B11="HP",1,0)</f>
        <v>0</v>
      </c>
      <c r="H11" s="10" t="n">
        <f aca="false">IF(B11="Dell",1,0)</f>
        <v>0</v>
      </c>
      <c r="I11" s="10" t="n">
        <f aca="false">IF(C11="Quad core",1,0)</f>
        <v>0</v>
      </c>
      <c r="J11" s="10" t="n">
        <f aca="false">IF(D11="17 inch",1,0)</f>
        <v>0</v>
      </c>
      <c r="K11" s="10" t="n">
        <f aca="false">IF(D11="21 inch",1,0)</f>
        <v>0</v>
      </c>
      <c r="L11" s="10" t="n">
        <f aca="false">IF(E11="4 GB",1,0)</f>
        <v>0</v>
      </c>
      <c r="M11" s="10" t="n">
        <f aca="false">IF(E11="8 GB",1,0)</f>
        <v>1</v>
      </c>
      <c r="N11" s="10" t="n">
        <f aca="false">IF(F11="Rs 45000",1,0)</f>
        <v>1</v>
      </c>
      <c r="O11" s="10" t="n">
        <f aca="false">IF(F11="Rs 55000",1,0)</f>
        <v>0</v>
      </c>
      <c r="P11" s="9" t="n">
        <v>5</v>
      </c>
    </row>
    <row r="12" customFormat="false" ht="15" hidden="false" customHeight="false" outlineLevel="0" collapsed="false">
      <c r="A12" s="5" t="n">
        <v>7</v>
      </c>
      <c r="B12" s="10" t="s">
        <v>47</v>
      </c>
      <c r="C12" s="10" t="s">
        <v>58</v>
      </c>
      <c r="D12" s="10" t="s">
        <v>65</v>
      </c>
      <c r="E12" s="10" t="s">
        <v>64</v>
      </c>
      <c r="F12" s="10" t="s">
        <v>66</v>
      </c>
      <c r="G12" s="10" t="n">
        <f aca="false">IF(B12="HP",1,0)</f>
        <v>1</v>
      </c>
      <c r="H12" s="10" t="n">
        <f aca="false">IF(B12="Dell",1,0)</f>
        <v>0</v>
      </c>
      <c r="I12" s="10" t="n">
        <f aca="false">IF(C12="Quad core",1,0)</f>
        <v>1</v>
      </c>
      <c r="J12" s="10" t="n">
        <f aca="false">IF(D12="17 inch",1,0)</f>
        <v>0</v>
      </c>
      <c r="K12" s="10" t="n">
        <f aca="false">IF(D12="21 inch",1,0)</f>
        <v>0</v>
      </c>
      <c r="L12" s="10" t="n">
        <f aca="false">IF(E12="4 GB",1,0)</f>
        <v>1</v>
      </c>
      <c r="M12" s="10" t="n">
        <f aca="false">IF(E12="8 GB",1,0)</f>
        <v>0</v>
      </c>
      <c r="N12" s="10" t="n">
        <f aca="false">IF(F12="Rs 45000",1,0)</f>
        <v>0</v>
      </c>
      <c r="O12" s="10" t="n">
        <f aca="false">IF(F12="Rs 55000",1,0)</f>
        <v>1</v>
      </c>
      <c r="P12" s="9" t="n">
        <v>5</v>
      </c>
    </row>
    <row r="13" customFormat="false" ht="15" hidden="false" customHeight="false" outlineLevel="0" collapsed="false">
      <c r="A13" s="5" t="n">
        <v>8</v>
      </c>
      <c r="B13" s="10" t="s">
        <v>9</v>
      </c>
      <c r="C13" s="10" t="s">
        <v>12</v>
      </c>
      <c r="D13" s="10" t="s">
        <v>62</v>
      </c>
      <c r="E13" s="10" t="s">
        <v>64</v>
      </c>
      <c r="F13" s="10" t="s">
        <v>61</v>
      </c>
      <c r="G13" s="10" t="n">
        <f aca="false">IF(B13="HP",1,0)</f>
        <v>0</v>
      </c>
      <c r="H13" s="10" t="n">
        <f aca="false">IF(B13="Dell",1,0)</f>
        <v>0</v>
      </c>
      <c r="I13" s="10" t="n">
        <f aca="false">IF(C13="Quad core",1,0)</f>
        <v>0</v>
      </c>
      <c r="J13" s="10" t="n">
        <f aca="false">IF(D13="17 inch",1,0)</f>
        <v>1</v>
      </c>
      <c r="K13" s="10" t="n">
        <f aca="false">IF(D13="21 inch",1,0)</f>
        <v>0</v>
      </c>
      <c r="L13" s="10" t="n">
        <f aca="false">IF(E13="4 GB",1,0)</f>
        <v>1</v>
      </c>
      <c r="M13" s="10" t="n">
        <f aca="false">IF(E13="8 GB",1,0)</f>
        <v>0</v>
      </c>
      <c r="N13" s="10" t="n">
        <f aca="false">IF(F13="Rs 45000",1,0)</f>
        <v>1</v>
      </c>
      <c r="O13" s="10" t="n">
        <f aca="false">IF(F13="Rs 55000",1,0)</f>
        <v>0</v>
      </c>
      <c r="P13" s="9" t="n">
        <v>4.5</v>
      </c>
    </row>
    <row r="14" customFormat="false" ht="15" hidden="false" customHeight="false" outlineLevel="0" collapsed="false">
      <c r="A14" s="5" t="n">
        <v>9</v>
      </c>
      <c r="B14" s="10" t="s">
        <v>57</v>
      </c>
      <c r="C14" s="10" t="s">
        <v>58</v>
      </c>
      <c r="D14" s="10" t="s">
        <v>62</v>
      </c>
      <c r="E14" s="10" t="s">
        <v>60</v>
      </c>
      <c r="F14" s="10" t="s">
        <v>66</v>
      </c>
      <c r="G14" s="10" t="n">
        <f aca="false">IF(B14="HP",1,0)</f>
        <v>0</v>
      </c>
      <c r="H14" s="10" t="n">
        <f aca="false">IF(B14="Dell",1,0)</f>
        <v>1</v>
      </c>
      <c r="I14" s="10" t="n">
        <f aca="false">IF(C14="Quad core",1,0)</f>
        <v>1</v>
      </c>
      <c r="J14" s="10" t="n">
        <f aca="false">IF(D14="17 inch",1,0)</f>
        <v>1</v>
      </c>
      <c r="K14" s="10" t="n">
        <f aca="false">IF(D14="21 inch",1,0)</f>
        <v>0</v>
      </c>
      <c r="L14" s="10" t="n">
        <f aca="false">IF(E14="4 GB",1,0)</f>
        <v>0</v>
      </c>
      <c r="M14" s="10" t="n">
        <f aca="false">IF(E14="8 GB",1,0)</f>
        <v>1</v>
      </c>
      <c r="N14" s="10" t="n">
        <f aca="false">IF(F14="Rs 45000",1,0)</f>
        <v>0</v>
      </c>
      <c r="O14" s="10" t="n">
        <f aca="false">IF(F14="Rs 55000",1,0)</f>
        <v>1</v>
      </c>
      <c r="P14" s="9" t="n">
        <v>7</v>
      </c>
    </row>
    <row r="15" customFormat="false" ht="15" hidden="false" customHeight="false" outlineLevel="0" collapsed="false">
      <c r="A15" s="5" t="n">
        <v>10</v>
      </c>
      <c r="B15" s="10" t="s">
        <v>57</v>
      </c>
      <c r="C15" s="10" t="s">
        <v>12</v>
      </c>
      <c r="D15" s="10" t="s">
        <v>65</v>
      </c>
      <c r="E15" s="10" t="s">
        <v>18</v>
      </c>
      <c r="F15" s="10" t="s">
        <v>63</v>
      </c>
      <c r="G15" s="10" t="n">
        <f aca="false">IF(B15="HP",1,0)</f>
        <v>0</v>
      </c>
      <c r="H15" s="10" t="n">
        <f aca="false">IF(B15="Dell",1,0)</f>
        <v>1</v>
      </c>
      <c r="I15" s="10" t="n">
        <f aca="false">IF(C15="Quad core",1,0)</f>
        <v>0</v>
      </c>
      <c r="J15" s="10" t="n">
        <f aca="false">IF(D15="17 inch",1,0)</f>
        <v>0</v>
      </c>
      <c r="K15" s="10" t="n">
        <f aca="false">IF(D15="21 inch",1,0)</f>
        <v>0</v>
      </c>
      <c r="L15" s="10" t="n">
        <f aca="false">IF(E15="4 GB",1,0)</f>
        <v>0</v>
      </c>
      <c r="M15" s="10" t="n">
        <f aca="false">IF(E15="8 GB",1,0)</f>
        <v>0</v>
      </c>
      <c r="N15" s="10" t="n">
        <f aca="false">IF(F15="Rs 45000",1,0)</f>
        <v>0</v>
      </c>
      <c r="O15" s="10" t="n">
        <f aca="false">IF(F15="Rs 55000",1,0)</f>
        <v>0</v>
      </c>
      <c r="P15" s="9" t="n">
        <v>5.5</v>
      </c>
    </row>
    <row r="16" customFormat="false" ht="15" hidden="false" customHeight="false" outlineLevel="0" collapsed="false">
      <c r="A16" s="5" t="n">
        <v>11</v>
      </c>
      <c r="B16" s="10" t="s">
        <v>9</v>
      </c>
      <c r="C16" s="10" t="s">
        <v>12</v>
      </c>
      <c r="D16" s="10" t="s">
        <v>65</v>
      </c>
      <c r="E16" s="10" t="s">
        <v>60</v>
      </c>
      <c r="F16" s="10" t="s">
        <v>66</v>
      </c>
      <c r="G16" s="10" t="n">
        <f aca="false">IF(B16="HP",1,0)</f>
        <v>0</v>
      </c>
      <c r="H16" s="10" t="n">
        <f aca="false">IF(B16="Dell",1,0)</f>
        <v>0</v>
      </c>
      <c r="I16" s="10" t="n">
        <f aca="false">IF(C16="Quad core",1,0)</f>
        <v>0</v>
      </c>
      <c r="J16" s="10" t="n">
        <f aca="false">IF(D16="17 inch",1,0)</f>
        <v>0</v>
      </c>
      <c r="K16" s="10" t="n">
        <f aca="false">IF(D16="21 inch",1,0)</f>
        <v>0</v>
      </c>
      <c r="L16" s="10" t="n">
        <f aca="false">IF(E16="4 GB",1,0)</f>
        <v>0</v>
      </c>
      <c r="M16" s="10" t="n">
        <f aca="false">IF(E16="8 GB",1,0)</f>
        <v>1</v>
      </c>
      <c r="N16" s="10" t="n">
        <f aca="false">IF(F16="Rs 45000",1,0)</f>
        <v>0</v>
      </c>
      <c r="O16" s="10" t="n">
        <f aca="false">IF(F16="Rs 55000",1,0)</f>
        <v>1</v>
      </c>
      <c r="P16" s="9" t="n">
        <v>4</v>
      </c>
    </row>
    <row r="17" customFormat="false" ht="15" hidden="false" customHeight="false" outlineLevel="0" collapsed="false">
      <c r="A17" s="5" t="n">
        <v>12</v>
      </c>
      <c r="B17" s="10" t="s">
        <v>47</v>
      </c>
      <c r="C17" s="10" t="s">
        <v>12</v>
      </c>
      <c r="D17" s="10" t="s">
        <v>59</v>
      </c>
      <c r="E17" s="10" t="s">
        <v>60</v>
      </c>
      <c r="F17" s="10" t="s">
        <v>66</v>
      </c>
      <c r="G17" s="10" t="n">
        <f aca="false">IF(B17="HP",1,0)</f>
        <v>1</v>
      </c>
      <c r="H17" s="10" t="n">
        <f aca="false">IF(B17="Dell",1,0)</f>
        <v>0</v>
      </c>
      <c r="I17" s="10" t="n">
        <f aca="false">IF(C17="Quad core",1,0)</f>
        <v>0</v>
      </c>
      <c r="J17" s="10" t="n">
        <f aca="false">IF(D17="17 inch",1,0)</f>
        <v>0</v>
      </c>
      <c r="K17" s="10" t="n">
        <f aca="false">IF(D17="21 inch",1,0)</f>
        <v>1</v>
      </c>
      <c r="L17" s="10" t="n">
        <f aca="false">IF(E17="4 GB",1,0)</f>
        <v>0</v>
      </c>
      <c r="M17" s="10" t="n">
        <f aca="false">IF(E17="8 GB",1,0)</f>
        <v>1</v>
      </c>
      <c r="N17" s="10" t="n">
        <f aca="false">IF(F17="Rs 45000",1,0)</f>
        <v>0</v>
      </c>
      <c r="O17" s="10" t="n">
        <f aca="false">IF(F17="Rs 55000",1,0)</f>
        <v>1</v>
      </c>
      <c r="P17" s="9" t="n">
        <v>6</v>
      </c>
    </row>
    <row r="18" customFormat="false" ht="15" hidden="false" customHeight="false" outlineLevel="0" collapsed="false">
      <c r="A18" s="5" t="n">
        <v>13</v>
      </c>
      <c r="B18" s="10" t="s">
        <v>9</v>
      </c>
      <c r="C18" s="10" t="s">
        <v>58</v>
      </c>
      <c r="D18" s="10" t="s">
        <v>65</v>
      </c>
      <c r="E18" s="10" t="s">
        <v>60</v>
      </c>
      <c r="F18" s="10" t="s">
        <v>66</v>
      </c>
      <c r="G18" s="10" t="n">
        <f aca="false">IF(B18="HP",1,0)</f>
        <v>0</v>
      </c>
      <c r="H18" s="10" t="n">
        <f aca="false">IF(B18="Dell",1,0)</f>
        <v>0</v>
      </c>
      <c r="I18" s="10" t="n">
        <f aca="false">IF(C18="Quad core",1,0)</f>
        <v>1</v>
      </c>
      <c r="J18" s="10" t="n">
        <f aca="false">IF(D18="17 inch",1,0)</f>
        <v>0</v>
      </c>
      <c r="K18" s="10" t="n">
        <f aca="false">IF(D18="21 inch",1,0)</f>
        <v>0</v>
      </c>
      <c r="L18" s="10" t="n">
        <f aca="false">IF(E18="4 GB",1,0)</f>
        <v>0</v>
      </c>
      <c r="M18" s="10" t="n">
        <f aca="false">IF(E18="8 GB",1,0)</f>
        <v>1</v>
      </c>
      <c r="N18" s="10" t="n">
        <f aca="false">IF(F18="Rs 45000",1,0)</f>
        <v>0</v>
      </c>
      <c r="O18" s="10" t="n">
        <f aca="false">IF(F18="Rs 55000",1,0)</f>
        <v>1</v>
      </c>
      <c r="P18" s="9" t="n">
        <v>5</v>
      </c>
    </row>
    <row r="19" customFormat="false" ht="15" hidden="false" customHeight="false" outlineLevel="0" collapsed="false">
      <c r="A19" s="5" t="n">
        <v>14</v>
      </c>
      <c r="B19" s="10" t="s">
        <v>57</v>
      </c>
      <c r="C19" s="10" t="s">
        <v>12</v>
      </c>
      <c r="D19" s="10" t="s">
        <v>65</v>
      </c>
      <c r="E19" s="10" t="s">
        <v>64</v>
      </c>
      <c r="F19" s="10" t="s">
        <v>66</v>
      </c>
      <c r="G19" s="10" t="n">
        <f aca="false">IF(B19="HP",1,0)</f>
        <v>0</v>
      </c>
      <c r="H19" s="10" t="n">
        <f aca="false">IF(B19="Dell",1,0)</f>
        <v>1</v>
      </c>
      <c r="I19" s="10" t="n">
        <f aca="false">IF(C19="Quad core",1,0)</f>
        <v>0</v>
      </c>
      <c r="J19" s="10" t="n">
        <f aca="false">IF(D19="17 inch",1,0)</f>
        <v>0</v>
      </c>
      <c r="K19" s="10" t="n">
        <f aca="false">IF(D19="21 inch",1,0)</f>
        <v>0</v>
      </c>
      <c r="L19" s="10" t="n">
        <f aca="false">IF(E19="4 GB",1,0)</f>
        <v>1</v>
      </c>
      <c r="M19" s="10" t="n">
        <f aca="false">IF(E19="8 GB",1,0)</f>
        <v>0</v>
      </c>
      <c r="N19" s="10" t="n">
        <f aca="false">IF(F19="Rs 45000",1,0)</f>
        <v>0</v>
      </c>
      <c r="O19" s="10" t="n">
        <f aca="false">IF(F19="Rs 55000",1,0)</f>
        <v>1</v>
      </c>
      <c r="P19" s="9" t="n">
        <v>4.5</v>
      </c>
    </row>
    <row r="20" customFormat="false" ht="15" hidden="false" customHeight="false" outlineLevel="0" collapsed="false">
      <c r="A20" s="5" t="n">
        <v>15</v>
      </c>
      <c r="B20" s="10" t="s">
        <v>9</v>
      </c>
      <c r="C20" s="10" t="s">
        <v>58</v>
      </c>
      <c r="D20" s="10" t="s">
        <v>62</v>
      </c>
      <c r="E20" s="10" t="s">
        <v>18</v>
      </c>
      <c r="F20" s="10" t="s">
        <v>66</v>
      </c>
      <c r="G20" s="10" t="n">
        <f aca="false">IF(B20="HP",1,0)</f>
        <v>0</v>
      </c>
      <c r="H20" s="10" t="n">
        <f aca="false">IF(B20="Dell",1,0)</f>
        <v>0</v>
      </c>
      <c r="I20" s="10" t="n">
        <f aca="false">IF(C20="Quad core",1,0)</f>
        <v>1</v>
      </c>
      <c r="J20" s="10" t="n">
        <f aca="false">IF(D20="17 inch",1,0)</f>
        <v>1</v>
      </c>
      <c r="K20" s="10" t="n">
        <f aca="false">IF(D20="21 inch",1,0)</f>
        <v>0</v>
      </c>
      <c r="L20" s="10" t="n">
        <f aca="false">IF(E20="4 GB",1,0)</f>
        <v>0</v>
      </c>
      <c r="M20" s="10" t="n">
        <f aca="false">IF(E20="8 GB",1,0)</f>
        <v>0</v>
      </c>
      <c r="N20" s="10" t="n">
        <f aca="false">IF(F20="Rs 45000",1,0)</f>
        <v>0</v>
      </c>
      <c r="O20" s="10" t="n">
        <f aca="false">IF(F20="Rs 55000",1,0)</f>
        <v>1</v>
      </c>
      <c r="P20" s="9" t="n">
        <v>4</v>
      </c>
    </row>
    <row r="21" customFormat="false" ht="15" hidden="false" customHeight="false" outlineLevel="0" collapsed="false">
      <c r="A21" s="5" t="n">
        <v>16</v>
      </c>
      <c r="B21" s="10" t="s">
        <v>9</v>
      </c>
      <c r="C21" s="10" t="s">
        <v>12</v>
      </c>
      <c r="D21" s="10" t="s">
        <v>59</v>
      </c>
      <c r="E21" s="10" t="s">
        <v>18</v>
      </c>
      <c r="F21" s="10" t="s">
        <v>66</v>
      </c>
      <c r="G21" s="10" t="n">
        <f aca="false">IF(B21="HP",1,0)</f>
        <v>0</v>
      </c>
      <c r="H21" s="10" t="n">
        <f aca="false">IF(B21="Dell",1,0)</f>
        <v>0</v>
      </c>
      <c r="I21" s="10" t="n">
        <f aca="false">IF(C21="Quad core",1,0)</f>
        <v>0</v>
      </c>
      <c r="J21" s="10" t="n">
        <f aca="false">IF(D21="17 inch",1,0)</f>
        <v>0</v>
      </c>
      <c r="K21" s="10" t="n">
        <f aca="false">IF(D21="21 inch",1,0)</f>
        <v>1</v>
      </c>
      <c r="L21" s="10" t="n">
        <f aca="false">IF(E21="4 GB",1,0)</f>
        <v>0</v>
      </c>
      <c r="M21" s="10" t="n">
        <f aca="false">IF(E21="8 GB",1,0)</f>
        <v>0</v>
      </c>
      <c r="N21" s="10" t="n">
        <f aca="false">IF(F21="Rs 45000",1,0)</f>
        <v>0</v>
      </c>
      <c r="O21" s="10" t="n">
        <f aca="false">IF(F21="Rs 55000",1,0)</f>
        <v>1</v>
      </c>
      <c r="P21" s="9" t="n">
        <v>3</v>
      </c>
    </row>
    <row r="23" customFormat="false" ht="30" hidden="false" customHeight="true" outlineLevel="0" collapsed="false">
      <c r="A23" s="14" t="s">
        <v>67</v>
      </c>
      <c r="B23" s="7" t="s">
        <v>68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</sheetData>
  <mergeCells count="4">
    <mergeCell ref="A1:P1"/>
    <mergeCell ref="A2:P3"/>
    <mergeCell ref="G4:O4"/>
    <mergeCell ref="B23:P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8"/>
  </cols>
  <sheetData>
    <row r="1" customFormat="false" ht="19.7" hidden="false" customHeight="false" outlineLevel="0" collapsed="false">
      <c r="A1" s="1" t="s">
        <v>69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70</v>
      </c>
    </row>
    <row r="4" customFormat="false" ht="15" hidden="false" customHeight="true" outlineLevel="0" collapsed="false">
      <c r="A4" s="15" t="s">
        <v>71</v>
      </c>
      <c r="B4" s="15"/>
      <c r="C4" s="15"/>
      <c r="D4" s="15"/>
      <c r="E4" s="15"/>
      <c r="F4" s="15"/>
    </row>
    <row r="5" customFormat="false" ht="15" hidden="false" customHeight="false" outlineLevel="0" collapsed="false">
      <c r="A5" s="15"/>
      <c r="B5" s="15"/>
      <c r="C5" s="15"/>
      <c r="D5" s="15"/>
      <c r="E5" s="15"/>
      <c r="F5" s="15"/>
    </row>
    <row r="7" customFormat="false" ht="15" hidden="false" customHeight="false" outlineLevel="0" collapsed="false">
      <c r="A7" s="2" t="s">
        <v>72</v>
      </c>
    </row>
    <row r="8" customFormat="false" ht="15" hidden="false" customHeight="false" outlineLevel="0" collapsed="false">
      <c r="A8" s="4" t="s">
        <v>73</v>
      </c>
      <c r="B8" s="4" t="s">
        <v>74</v>
      </c>
      <c r="C8" s="4" t="s">
        <v>75</v>
      </c>
    </row>
    <row r="9" customFormat="false" ht="15" hidden="false" customHeight="false" outlineLevel="0" collapsed="false">
      <c r="A9" s="16" t="s">
        <v>76</v>
      </c>
      <c r="B9" s="17" t="n">
        <f aca="false">INDEX(LINEST('2. Design &amp; Ratings'!$P$6:$P$21,'2. Design &amp; Ratings'!$G$6:$O$21,TRUE(),FALSE()),1,10)</f>
        <v>3.9375</v>
      </c>
      <c r="C9" s="6" t="s">
        <v>77</v>
      </c>
    </row>
    <row r="10" customFormat="false" ht="15" hidden="false" customHeight="false" outlineLevel="0" collapsed="false">
      <c r="A10" s="16" t="s">
        <v>78</v>
      </c>
      <c r="B10" s="17" t="n">
        <f aca="false">INDEX(LINEST('2. Design &amp; Ratings'!$P$6:$P$21,'2. Design &amp; Ratings'!$G$6:$O$21,TRUE(),FALSE()),1,9)</f>
        <v>0.9375</v>
      </c>
      <c r="C10" s="6" t="s">
        <v>79</v>
      </c>
    </row>
    <row r="11" customFormat="false" ht="15" hidden="false" customHeight="false" outlineLevel="0" collapsed="false">
      <c r="A11" s="16" t="s">
        <v>80</v>
      </c>
      <c r="B11" s="17" t="n">
        <f aca="false">INDEX(LINEST('2. Design &amp; Ratings'!$P$6:$P$21,'2. Design &amp; Ratings'!$G$6:$O$21,TRUE(),FALSE()),1,8)</f>
        <v>1.5625</v>
      </c>
      <c r="C11" s="6" t="s">
        <v>81</v>
      </c>
    </row>
    <row r="12" customFormat="false" ht="15" hidden="false" customHeight="false" outlineLevel="0" collapsed="false">
      <c r="A12" s="16" t="s">
        <v>82</v>
      </c>
      <c r="B12" s="17" t="n">
        <f aca="false">INDEX(LINEST('2. Design &amp; Ratings'!$P$6:$P$21,'2. Design &amp; Ratings'!$G$6:$O$21,TRUE(),FALSE()),1,7)</f>
        <v>1.25</v>
      </c>
      <c r="C12" s="6" t="s">
        <v>83</v>
      </c>
    </row>
    <row r="13" customFormat="false" ht="15" hidden="false" customHeight="false" outlineLevel="0" collapsed="false">
      <c r="A13" s="16" t="s">
        <v>84</v>
      </c>
      <c r="B13" s="17" t="n">
        <f aca="false">INDEX(LINEST('2. Design &amp; Ratings'!$P$6:$P$21,'2. Design &amp; Ratings'!$G$6:$O$21,TRUE(),FALSE()),1,6)</f>
        <v>0.4375</v>
      </c>
      <c r="C13" s="6" t="s">
        <v>85</v>
      </c>
    </row>
    <row r="14" customFormat="false" ht="15" hidden="false" customHeight="false" outlineLevel="0" collapsed="false">
      <c r="A14" s="16" t="s">
        <v>86</v>
      </c>
      <c r="B14" s="17" t="n">
        <f aca="false">INDEX(LINEST('2. Design &amp; Ratings'!$P$6:$P$21,'2. Design &amp; Ratings'!$G$6:$O$21,TRUE(),FALSE()),1,5)</f>
        <v>1.0625</v>
      </c>
      <c r="C14" s="6" t="s">
        <v>87</v>
      </c>
    </row>
    <row r="15" customFormat="false" ht="15" hidden="false" customHeight="false" outlineLevel="0" collapsed="false">
      <c r="A15" s="16" t="s">
        <v>88</v>
      </c>
      <c r="B15" s="17" t="n">
        <f aca="false">INDEX(LINEST('2. Design &amp; Ratings'!$P$6:$P$21,'2. Design &amp; Ratings'!$G$6:$O$21,TRUE(),FALSE()),1,4)</f>
        <v>0.75</v>
      </c>
      <c r="C15" s="6" t="s">
        <v>89</v>
      </c>
    </row>
    <row r="16" customFormat="false" ht="15" hidden="false" customHeight="false" outlineLevel="0" collapsed="false">
      <c r="A16" s="16" t="s">
        <v>90</v>
      </c>
      <c r="B16" s="17" t="n">
        <f aca="false">INDEX(LINEST('2. Design &amp; Ratings'!$P$6:$P$21,'2. Design &amp; Ratings'!$G$6:$O$21,TRUE(),FALSE()),1,3)</f>
        <v>1.75</v>
      </c>
      <c r="C16" s="6" t="s">
        <v>91</v>
      </c>
    </row>
    <row r="17" customFormat="false" ht="15" hidden="false" customHeight="false" outlineLevel="0" collapsed="false">
      <c r="A17" s="16" t="s">
        <v>92</v>
      </c>
      <c r="B17" s="17" t="n">
        <f aca="false">INDEX(LINEST('2. Design &amp; Ratings'!$P$6:$P$21,'2. Design &amp; Ratings'!$G$6:$O$21,TRUE(),FALSE()),1,2)</f>
        <v>-0.625000000000001</v>
      </c>
      <c r="C17" s="6" t="s">
        <v>93</v>
      </c>
    </row>
    <row r="18" customFormat="false" ht="15" hidden="false" customHeight="false" outlineLevel="0" collapsed="false">
      <c r="A18" s="16" t="s">
        <v>94</v>
      </c>
      <c r="B18" s="17" t="n">
        <f aca="false">INDEX(LINEST('2. Design &amp; Ratings'!$P$6:$P$21,'2. Design &amp; Ratings'!$G$6:$O$21,TRUE(),FALSE()),1,1)</f>
        <v>-1.8125</v>
      </c>
      <c r="C18" s="6" t="s">
        <v>95</v>
      </c>
    </row>
    <row r="20" customFormat="false" ht="15" hidden="false" customHeight="false" outlineLevel="0" collapsed="false">
      <c r="A20" s="2" t="s">
        <v>96</v>
      </c>
    </row>
    <row r="21" customFormat="false" ht="15" hidden="false" customHeight="false" outlineLevel="0" collapsed="false">
      <c r="A21" s="16" t="s">
        <v>97</v>
      </c>
      <c r="B21" s="17" t="n">
        <f aca="false">INDEX(LINEST('2. Design &amp; Ratings'!$P$6:$P$21,'2. Design &amp; Ratings'!$G$6:$O$21,TRUE(),TRUE()),3,1)</f>
        <v>0.995527728085868</v>
      </c>
      <c r="C21" s="18" t="s">
        <v>98</v>
      </c>
    </row>
    <row r="24" customFormat="false" ht="15" hidden="false" customHeight="false" outlineLevel="0" collapsed="false">
      <c r="A24" s="14" t="s">
        <v>99</v>
      </c>
    </row>
    <row r="25" customFormat="false" ht="15" hidden="false" customHeight="true" outlineLevel="0" collapsed="false">
      <c r="A25" s="7" t="s">
        <v>100</v>
      </c>
      <c r="B25" s="7"/>
      <c r="C25" s="7"/>
    </row>
    <row r="26" customFormat="false" ht="15" hidden="false" customHeight="false" outlineLevel="0" collapsed="false">
      <c r="A26" s="7"/>
      <c r="B26" s="7"/>
      <c r="C26" s="7"/>
    </row>
    <row r="27" customFormat="false" ht="15" hidden="false" customHeight="false" outlineLevel="0" collapsed="false">
      <c r="A27" s="7"/>
      <c r="B27" s="7"/>
      <c r="C27" s="7"/>
    </row>
  </sheetData>
  <mergeCells count="3">
    <mergeCell ref="A1:F1"/>
    <mergeCell ref="A4:F5"/>
    <mergeCell ref="A25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101</v>
      </c>
      <c r="B1" s="1"/>
      <c r="C1" s="1"/>
      <c r="D1" s="1"/>
    </row>
    <row r="2" customFormat="false" ht="15" hidden="false" customHeight="true" outlineLevel="0" collapsed="false">
      <c r="A2" s="7" t="s">
        <v>102</v>
      </c>
      <c r="B2" s="7"/>
      <c r="C2" s="7"/>
      <c r="D2" s="7"/>
    </row>
    <row r="3" customFormat="false" ht="15" hidden="false" customHeight="false" outlineLevel="0" collapsed="false">
      <c r="A3" s="7"/>
      <c r="B3" s="7"/>
      <c r="C3" s="7"/>
      <c r="D3" s="7"/>
    </row>
    <row r="5" customFormat="false" ht="15" hidden="false" customHeight="false" outlineLevel="0" collapsed="false">
      <c r="A5" s="4" t="s">
        <v>4</v>
      </c>
      <c r="B5" s="4" t="s">
        <v>103</v>
      </c>
      <c r="C5" s="4" t="s">
        <v>104</v>
      </c>
      <c r="D5" s="4" t="s">
        <v>105</v>
      </c>
    </row>
    <row r="6" customFormat="false" ht="15" hidden="false" customHeight="false" outlineLevel="0" collapsed="false">
      <c r="A6" s="16" t="s">
        <v>7</v>
      </c>
      <c r="B6" s="6" t="s">
        <v>9</v>
      </c>
      <c r="C6" s="17" t="n">
        <v>0</v>
      </c>
      <c r="D6" s="18" t="s">
        <v>106</v>
      </c>
    </row>
    <row r="7" customFormat="false" ht="15" hidden="false" customHeight="false" outlineLevel="0" collapsed="false">
      <c r="A7" s="16"/>
      <c r="B7" s="6" t="s">
        <v>47</v>
      </c>
      <c r="C7" s="17" t="n">
        <f aca="false">'3. Regression'!B10</f>
        <v>0.9375</v>
      </c>
      <c r="D7" s="18" t="s">
        <v>107</v>
      </c>
    </row>
    <row r="8" customFormat="false" ht="15" hidden="false" customHeight="false" outlineLevel="0" collapsed="false">
      <c r="A8" s="16"/>
      <c r="B8" s="6" t="s">
        <v>57</v>
      </c>
      <c r="C8" s="17" t="n">
        <f aca="false">'3. Regression'!B11</f>
        <v>1.5625</v>
      </c>
      <c r="D8" s="18" t="s">
        <v>108</v>
      </c>
    </row>
    <row r="9" customFormat="false" ht="15" hidden="false" customHeight="false" outlineLevel="0" collapsed="false">
      <c r="A9" s="16" t="s">
        <v>10</v>
      </c>
      <c r="B9" s="6" t="s">
        <v>12</v>
      </c>
      <c r="C9" s="17" t="n">
        <v>0</v>
      </c>
      <c r="D9" s="18" t="s">
        <v>106</v>
      </c>
    </row>
    <row r="10" customFormat="false" ht="15" hidden="false" customHeight="false" outlineLevel="0" collapsed="false">
      <c r="A10" s="16"/>
      <c r="B10" s="6" t="s">
        <v>58</v>
      </c>
      <c r="C10" s="17" t="n">
        <f aca="false">'3. Regression'!B12</f>
        <v>1.25</v>
      </c>
      <c r="D10" s="18" t="s">
        <v>109</v>
      </c>
    </row>
    <row r="11" customFormat="false" ht="15" hidden="false" customHeight="false" outlineLevel="0" collapsed="false">
      <c r="A11" s="16" t="s">
        <v>13</v>
      </c>
      <c r="B11" s="6" t="s">
        <v>65</v>
      </c>
      <c r="C11" s="17" t="n">
        <v>0</v>
      </c>
      <c r="D11" s="18" t="s">
        <v>106</v>
      </c>
    </row>
    <row r="12" customFormat="false" ht="15" hidden="false" customHeight="false" outlineLevel="0" collapsed="false">
      <c r="A12" s="16"/>
      <c r="B12" s="6" t="s">
        <v>62</v>
      </c>
      <c r="C12" s="17" t="n">
        <f aca="false">'3. Regression'!B13</f>
        <v>0.4375</v>
      </c>
      <c r="D12" s="18" t="s">
        <v>110</v>
      </c>
    </row>
    <row r="13" customFormat="false" ht="15" hidden="false" customHeight="false" outlineLevel="0" collapsed="false">
      <c r="A13" s="16"/>
      <c r="B13" s="6" t="s">
        <v>59</v>
      </c>
      <c r="C13" s="17" t="n">
        <f aca="false">'3. Regression'!B14</f>
        <v>1.0625</v>
      </c>
      <c r="D13" s="18" t="s">
        <v>111</v>
      </c>
    </row>
    <row r="14" customFormat="false" ht="15" hidden="false" customHeight="false" outlineLevel="0" collapsed="false">
      <c r="A14" s="16" t="s">
        <v>16</v>
      </c>
      <c r="B14" s="6" t="s">
        <v>18</v>
      </c>
      <c r="C14" s="17" t="n">
        <v>0</v>
      </c>
      <c r="D14" s="18" t="s">
        <v>106</v>
      </c>
    </row>
    <row r="15" customFormat="false" ht="15" hidden="false" customHeight="false" outlineLevel="0" collapsed="false">
      <c r="A15" s="16"/>
      <c r="B15" s="6" t="s">
        <v>64</v>
      </c>
      <c r="C15" s="17" t="n">
        <f aca="false">'3. Regression'!B15</f>
        <v>0.75</v>
      </c>
      <c r="D15" s="18" t="s">
        <v>112</v>
      </c>
    </row>
    <row r="16" customFormat="false" ht="15" hidden="false" customHeight="false" outlineLevel="0" collapsed="false">
      <c r="A16" s="16"/>
      <c r="B16" s="6" t="s">
        <v>60</v>
      </c>
      <c r="C16" s="17" t="n">
        <f aca="false">'3. Regression'!B16</f>
        <v>1.75</v>
      </c>
      <c r="D16" s="18" t="s">
        <v>113</v>
      </c>
    </row>
    <row r="17" customFormat="false" ht="15" hidden="false" customHeight="false" outlineLevel="0" collapsed="false">
      <c r="A17" s="16" t="s">
        <v>19</v>
      </c>
      <c r="B17" s="6" t="s">
        <v>114</v>
      </c>
      <c r="C17" s="17" t="n">
        <v>0</v>
      </c>
      <c r="D17" s="18" t="s">
        <v>106</v>
      </c>
    </row>
    <row r="18" customFormat="false" ht="15" hidden="false" customHeight="false" outlineLevel="0" collapsed="false">
      <c r="A18" s="16"/>
      <c r="B18" s="6" t="s">
        <v>115</v>
      </c>
      <c r="C18" s="17" t="n">
        <f aca="false">'3. Regression'!B17</f>
        <v>-0.625000000000001</v>
      </c>
      <c r="D18" s="18" t="s">
        <v>116</v>
      </c>
    </row>
    <row r="19" customFormat="false" ht="15" hidden="false" customHeight="false" outlineLevel="0" collapsed="false">
      <c r="A19" s="16"/>
      <c r="B19" s="6" t="s">
        <v>117</v>
      </c>
      <c r="C19" s="17" t="n">
        <f aca="false">'3. Regression'!B18</f>
        <v>-1.8125</v>
      </c>
      <c r="D19" s="18" t="s">
        <v>118</v>
      </c>
    </row>
    <row r="21" customFormat="false" ht="15" hidden="false" customHeight="false" outlineLevel="0" collapsed="false">
      <c r="A21" s="2" t="s">
        <v>119</v>
      </c>
    </row>
    <row r="22" customFormat="false" ht="15" hidden="false" customHeight="true" outlineLevel="0" collapsed="false">
      <c r="A22" s="3" t="s">
        <v>120</v>
      </c>
      <c r="B22" s="3"/>
      <c r="C22" s="3"/>
      <c r="D22" s="3"/>
    </row>
    <row r="23" customFormat="false" ht="15" hidden="false" customHeight="false" outlineLevel="0" collapsed="false">
      <c r="A23" s="3"/>
      <c r="B23" s="3"/>
      <c r="C23" s="3"/>
      <c r="D23" s="3"/>
    </row>
    <row r="24" customFormat="false" ht="15" hidden="false" customHeight="false" outlineLevel="0" collapsed="false">
      <c r="A24" s="3"/>
      <c r="B24" s="3"/>
      <c r="C24" s="3"/>
      <c r="D24" s="3"/>
    </row>
  </sheetData>
  <mergeCells count="3">
    <mergeCell ref="A1:D1"/>
    <mergeCell ref="A2:D3"/>
    <mergeCell ref="A22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6"/>
  </cols>
  <sheetData>
    <row r="1" customFormat="false" ht="19.7" hidden="false" customHeight="false" outlineLevel="0" collapsed="false">
      <c r="A1" s="1" t="s">
        <v>121</v>
      </c>
      <c r="B1" s="1"/>
      <c r="C1" s="1"/>
      <c r="D1" s="1"/>
      <c r="E1" s="1"/>
    </row>
    <row r="2" customFormat="false" ht="15" hidden="false" customHeight="true" outlineLevel="0" collapsed="false">
      <c r="A2" s="7" t="s">
        <v>122</v>
      </c>
      <c r="B2" s="7"/>
      <c r="C2" s="7"/>
      <c r="D2" s="7"/>
      <c r="E2" s="7"/>
    </row>
    <row r="3" customFormat="false" ht="15" hidden="false" customHeight="false" outlineLevel="0" collapsed="false">
      <c r="A3" s="7"/>
      <c r="B3" s="7"/>
      <c r="C3" s="7"/>
      <c r="D3" s="7"/>
      <c r="E3" s="7"/>
    </row>
    <row r="5" customFormat="false" ht="15" hidden="false" customHeight="false" outlineLevel="0" collapsed="false">
      <c r="A5" s="4" t="s">
        <v>4</v>
      </c>
      <c r="B5" s="4" t="s">
        <v>123</v>
      </c>
      <c r="C5" s="4" t="s">
        <v>124</v>
      </c>
      <c r="D5" s="4" t="s">
        <v>125</v>
      </c>
      <c r="E5" s="4" t="s">
        <v>126</v>
      </c>
    </row>
    <row r="6" customFormat="false" ht="15" hidden="false" customHeight="false" outlineLevel="0" collapsed="false">
      <c r="A6" s="16" t="s">
        <v>7</v>
      </c>
      <c r="B6" s="19" t="n">
        <f aca="false">MAX('4. Part-Worths'!C6:C8)</f>
        <v>1.5625</v>
      </c>
      <c r="C6" s="19" t="n">
        <f aca="false">MIN('4. Part-Worths'!C6:C8)</f>
        <v>0</v>
      </c>
      <c r="D6" s="17" t="n">
        <f aca="false">B6-C6</f>
        <v>1.5625</v>
      </c>
      <c r="E6" s="20" t="n">
        <f aca="false">D6/SUM($D$6:$D$10)</f>
        <v>0.210084033613445</v>
      </c>
    </row>
    <row r="7" customFormat="false" ht="15" hidden="false" customHeight="false" outlineLevel="0" collapsed="false">
      <c r="A7" s="16" t="s">
        <v>10</v>
      </c>
      <c r="B7" s="19" t="n">
        <f aca="false">MAX('4. Part-Worths'!C9:C10)</f>
        <v>1.25</v>
      </c>
      <c r="C7" s="19" t="n">
        <f aca="false">MIN('4. Part-Worths'!C9:C10)</f>
        <v>0</v>
      </c>
      <c r="D7" s="17" t="n">
        <f aca="false">B7-C7</f>
        <v>1.25</v>
      </c>
      <c r="E7" s="20" t="n">
        <f aca="false">D7/SUM($D$6:$D$10)</f>
        <v>0.168067226890756</v>
      </c>
    </row>
    <row r="8" customFormat="false" ht="15" hidden="false" customHeight="false" outlineLevel="0" collapsed="false">
      <c r="A8" s="16" t="s">
        <v>13</v>
      </c>
      <c r="B8" s="19" t="n">
        <f aca="false">MAX('4. Part-Worths'!C11:C13)</f>
        <v>1.0625</v>
      </c>
      <c r="C8" s="19" t="n">
        <f aca="false">MIN('4. Part-Worths'!C11:C13)</f>
        <v>0</v>
      </c>
      <c r="D8" s="17" t="n">
        <f aca="false">B8-C8</f>
        <v>1.0625</v>
      </c>
      <c r="E8" s="20" t="n">
        <f aca="false">D8/SUM($D$6:$D$10)</f>
        <v>0.142857142857143</v>
      </c>
    </row>
    <row r="9" customFormat="false" ht="15" hidden="false" customHeight="false" outlineLevel="0" collapsed="false">
      <c r="A9" s="16" t="s">
        <v>16</v>
      </c>
      <c r="B9" s="19" t="n">
        <f aca="false">MAX('4. Part-Worths'!C14:C16)</f>
        <v>1.75</v>
      </c>
      <c r="C9" s="19" t="n">
        <f aca="false">MIN('4. Part-Worths'!C14:C16)</f>
        <v>0</v>
      </c>
      <c r="D9" s="17" t="n">
        <f aca="false">B9-C9</f>
        <v>1.75</v>
      </c>
      <c r="E9" s="20" t="n">
        <f aca="false">D9/SUM($D$6:$D$10)</f>
        <v>0.235294117647059</v>
      </c>
    </row>
    <row r="10" customFormat="false" ht="15" hidden="false" customHeight="false" outlineLevel="0" collapsed="false">
      <c r="A10" s="16" t="s">
        <v>19</v>
      </c>
      <c r="B10" s="19" t="n">
        <f aca="false">MAX('4. Part-Worths'!C17:C19)</f>
        <v>0</v>
      </c>
      <c r="C10" s="19" t="n">
        <f aca="false">MIN('4. Part-Worths'!C17:C19)</f>
        <v>-1.8125</v>
      </c>
      <c r="D10" s="17" t="n">
        <f aca="false">B10-C10</f>
        <v>1.8125</v>
      </c>
      <c r="E10" s="20" t="n">
        <f aca="false">D10/SUM($D$6:$D$10)</f>
        <v>0.243697478991597</v>
      </c>
    </row>
    <row r="11" customFormat="false" ht="15" hidden="false" customHeight="false" outlineLevel="0" collapsed="false">
      <c r="A11" s="21" t="s">
        <v>127</v>
      </c>
      <c r="B11" s="22"/>
      <c r="C11" s="22"/>
      <c r="D11" s="23" t="n">
        <f aca="false">SUM(D6:D10)</f>
        <v>7.4375</v>
      </c>
      <c r="E11" s="24" t="n">
        <f aca="false">SUM(E6:E10)</f>
        <v>1</v>
      </c>
    </row>
    <row r="33" customFormat="false" ht="15" hidden="false" customHeight="false" outlineLevel="0" collapsed="false">
      <c r="A33" s="2" t="s">
        <v>128</v>
      </c>
    </row>
    <row r="34" customFormat="false" ht="15" hidden="false" customHeight="true" outlineLevel="0" collapsed="false">
      <c r="A34" s="3" t="s">
        <v>129</v>
      </c>
      <c r="B34" s="3"/>
      <c r="C34" s="3"/>
      <c r="D34" s="3"/>
      <c r="E34" s="3"/>
    </row>
    <row r="35" customFormat="false" ht="15" hidden="false" customHeight="false" outlineLevel="0" collapsed="false">
      <c r="A35" s="3"/>
      <c r="B35" s="3"/>
      <c r="C35" s="3"/>
      <c r="D35" s="3"/>
      <c r="E35" s="3"/>
    </row>
    <row r="36" customFormat="false" ht="15" hidden="false" customHeight="false" outlineLevel="0" collapsed="false">
      <c r="A36" s="3"/>
      <c r="B36" s="3"/>
      <c r="C36" s="3"/>
      <c r="D36" s="3"/>
      <c r="E36" s="3"/>
    </row>
  </sheetData>
  <mergeCells count="3">
    <mergeCell ref="A1:E1"/>
    <mergeCell ref="A2:E3"/>
    <mergeCell ref="A34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15" min="7" style="0" width="7"/>
    <col collapsed="false" customWidth="true" hidden="false" outlineLevel="0" max="18" min="16" style="0" width="11"/>
  </cols>
  <sheetData>
    <row r="1" customFormat="false" ht="19.7" hidden="false" customHeight="fals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7" t="s">
        <v>131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5" customFormat="false" ht="15" hidden="false" customHeight="false" outlineLevel="0" collapsed="false">
      <c r="A5" s="4" t="s">
        <v>46</v>
      </c>
      <c r="B5" s="4" t="s">
        <v>7</v>
      </c>
      <c r="C5" s="4" t="s">
        <v>10</v>
      </c>
      <c r="D5" s="4" t="s">
        <v>13</v>
      </c>
      <c r="E5" s="4" t="s">
        <v>16</v>
      </c>
      <c r="F5" s="4" t="s">
        <v>19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4" t="s">
        <v>52</v>
      </c>
      <c r="M5" s="4" t="s">
        <v>53</v>
      </c>
      <c r="N5" s="4" t="s">
        <v>54</v>
      </c>
      <c r="O5" s="4" t="s">
        <v>55</v>
      </c>
      <c r="P5" s="4" t="s">
        <v>132</v>
      </c>
      <c r="Q5" s="4" t="s">
        <v>133</v>
      </c>
      <c r="R5" s="4" t="s">
        <v>134</v>
      </c>
    </row>
    <row r="6" customFormat="false" ht="15" hidden="false" customHeight="false" outlineLevel="0" collapsed="false">
      <c r="A6" s="5" t="n">
        <v>1</v>
      </c>
      <c r="B6" s="10" t="s">
        <v>9</v>
      </c>
      <c r="C6" s="10" t="s">
        <v>58</v>
      </c>
      <c r="D6" s="10" t="s">
        <v>59</v>
      </c>
      <c r="E6" s="10" t="s">
        <v>60</v>
      </c>
      <c r="F6" s="10" t="s">
        <v>63</v>
      </c>
      <c r="G6" s="10" t="n">
        <f aca="false">IF(B6="HP",1,0)</f>
        <v>0</v>
      </c>
      <c r="H6" s="10" t="n">
        <f aca="false">IF(B6="Dell",1,0)</f>
        <v>0</v>
      </c>
      <c r="I6" s="10" t="n">
        <f aca="false">IF(C6="Quad core",1,0)</f>
        <v>1</v>
      </c>
      <c r="J6" s="10" t="n">
        <f aca="false">IF(D6="17 inch",1,0)</f>
        <v>0</v>
      </c>
      <c r="K6" s="10" t="n">
        <f aca="false">IF(D6="21 inch",1,0)</f>
        <v>1</v>
      </c>
      <c r="L6" s="10" t="n">
        <f aca="false">IF(E6="4 GB",1,0)</f>
        <v>0</v>
      </c>
      <c r="M6" s="10" t="n">
        <f aca="false">IF(E6="8 GB",1,0)</f>
        <v>1</v>
      </c>
      <c r="N6" s="10" t="n">
        <f aca="false">IF(F6="Rs 45000",1,0)</f>
        <v>0</v>
      </c>
      <c r="O6" s="10" t="n">
        <f aca="false">IF(F6="Rs 55000",1,0)</f>
        <v>0</v>
      </c>
      <c r="P6" s="17" t="n">
        <f aca="false">'3. Regression'!$B$9+G6*'3. Regression'!$B$10+H6*'3. Regression'!$B$11+I6*'3. Regression'!$B$12+J6*'3. Regression'!$B$13+K6*'3. Regression'!$B$14+L6*'3. Regression'!$B$15+M6*'3. Regression'!$B$16+N6*'3. Regression'!$B$17+O6*'3. Regression'!$B$18</f>
        <v>8</v>
      </c>
      <c r="Q6" s="25" t="n">
        <v>8</v>
      </c>
      <c r="R6" s="19" t="n">
        <f aca="false">P6-Q6</f>
        <v>0</v>
      </c>
    </row>
    <row r="7" customFormat="false" ht="15" hidden="false" customHeight="false" outlineLevel="0" collapsed="false">
      <c r="A7" s="5" t="n">
        <v>2</v>
      </c>
      <c r="B7" s="10" t="s">
        <v>57</v>
      </c>
      <c r="C7" s="10" t="s">
        <v>12</v>
      </c>
      <c r="D7" s="10" t="s">
        <v>62</v>
      </c>
      <c r="E7" s="10" t="s">
        <v>18</v>
      </c>
      <c r="F7" s="10" t="s">
        <v>66</v>
      </c>
      <c r="G7" s="10" t="n">
        <f aca="false">IF(B7="HP",1,0)</f>
        <v>0</v>
      </c>
      <c r="H7" s="10" t="n">
        <f aca="false">IF(B7="Dell",1,0)</f>
        <v>1</v>
      </c>
      <c r="I7" s="10" t="n">
        <f aca="false">IF(C7="Quad core",1,0)</f>
        <v>0</v>
      </c>
      <c r="J7" s="10" t="n">
        <f aca="false">IF(D7="17 inch",1,0)</f>
        <v>1</v>
      </c>
      <c r="K7" s="10" t="n">
        <f aca="false">IF(D7="21 inch",1,0)</f>
        <v>0</v>
      </c>
      <c r="L7" s="10" t="n">
        <f aca="false">IF(E7="4 GB",1,0)</f>
        <v>0</v>
      </c>
      <c r="M7" s="10" t="n">
        <f aca="false">IF(E7="8 GB",1,0)</f>
        <v>0</v>
      </c>
      <c r="N7" s="10" t="n">
        <f aca="false">IF(F7="Rs 45000",1,0)</f>
        <v>0</v>
      </c>
      <c r="O7" s="10" t="n">
        <f aca="false">IF(F7="Rs 55000",1,0)</f>
        <v>1</v>
      </c>
      <c r="P7" s="17" t="n">
        <f aca="false">'3. Regression'!$B$9+G7*'3. Regression'!$B$10+H7*'3. Regression'!$B$11+I7*'3. Regression'!$B$12+J7*'3. Regression'!$B$13+K7*'3. Regression'!$B$14+L7*'3. Regression'!$B$15+M7*'3. Regression'!$B$16+N7*'3. Regression'!$B$17+O7*'3. Regression'!$B$18</f>
        <v>4.125</v>
      </c>
      <c r="Q7" s="25" t="n">
        <v>4</v>
      </c>
      <c r="R7" s="19" t="n">
        <f aca="false">P7-Q7</f>
        <v>0.124999999999999</v>
      </c>
    </row>
    <row r="8" customFormat="false" ht="15" hidden="false" customHeight="false" outlineLevel="0" collapsed="false">
      <c r="A8" s="5" t="n">
        <v>3</v>
      </c>
      <c r="B8" s="10" t="s">
        <v>9</v>
      </c>
      <c r="C8" s="10" t="s">
        <v>12</v>
      </c>
      <c r="D8" s="10" t="s">
        <v>65</v>
      </c>
      <c r="E8" s="10" t="s">
        <v>64</v>
      </c>
      <c r="F8" s="10" t="s">
        <v>63</v>
      </c>
      <c r="G8" s="10" t="n">
        <f aca="false">IF(B8="HP",1,0)</f>
        <v>0</v>
      </c>
      <c r="H8" s="10" t="n">
        <f aca="false">IF(B8="Dell",1,0)</f>
        <v>0</v>
      </c>
      <c r="I8" s="10" t="n">
        <f aca="false">IF(C8="Quad core",1,0)</f>
        <v>0</v>
      </c>
      <c r="J8" s="10" t="n">
        <f aca="false">IF(D8="17 inch",1,0)</f>
        <v>0</v>
      </c>
      <c r="K8" s="10" t="n">
        <f aca="false">IF(D8="21 inch",1,0)</f>
        <v>0</v>
      </c>
      <c r="L8" s="10" t="n">
        <f aca="false">IF(E8="4 GB",1,0)</f>
        <v>1</v>
      </c>
      <c r="M8" s="10" t="n">
        <f aca="false">IF(E8="8 GB",1,0)</f>
        <v>0</v>
      </c>
      <c r="N8" s="10" t="n">
        <f aca="false">IF(F8="Rs 45000",1,0)</f>
        <v>0</v>
      </c>
      <c r="O8" s="10" t="n">
        <f aca="false">IF(F8="Rs 55000",1,0)</f>
        <v>0</v>
      </c>
      <c r="P8" s="17" t="n">
        <f aca="false">'3. Regression'!$B$9+G8*'3. Regression'!$B$10+H8*'3. Regression'!$B$11+I8*'3. Regression'!$B$12+J8*'3. Regression'!$B$13+K8*'3. Regression'!$B$14+L8*'3. Regression'!$B$15+M8*'3. Regression'!$B$16+N8*'3. Regression'!$B$17+O8*'3. Regression'!$B$18</f>
        <v>4.6875</v>
      </c>
      <c r="Q8" s="25" t="n">
        <v>5</v>
      </c>
      <c r="R8" s="19" t="n">
        <f aca="false">P8-Q8</f>
        <v>-0.3125</v>
      </c>
    </row>
    <row r="11" customFormat="false" ht="15" hidden="false" customHeight="false" outlineLevel="0" collapsed="false">
      <c r="A11" s="16" t="s">
        <v>135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7" t="n">
        <f aca="false">AVERAGE(ABS(R6),ABS(R7),ABS(R8))</f>
        <v>0.145833333333333</v>
      </c>
    </row>
    <row r="12" customFormat="false" ht="15" hidden="false" customHeight="false" outlineLevel="0" collapsed="false">
      <c r="A12" s="16" t="s">
        <v>136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7" t="n">
        <f aca="false">CORREL(P6:P8,Q6:Q8)</f>
        <v>0.99419162560192</v>
      </c>
    </row>
    <row r="15" customFormat="false" ht="15" hidden="false" customHeight="false" outlineLevel="0" collapsed="false">
      <c r="A15" s="2" t="s">
        <v>137</v>
      </c>
    </row>
    <row r="16" customFormat="false" ht="15" hidden="false" customHeight="false" outlineLevel="0" collapsed="false">
      <c r="A16" s="26" t="s">
        <v>138</v>
      </c>
      <c r="B16" s="27" t="s">
        <v>139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customFormat="false" ht="15" hidden="false" customHeight="false" outlineLevel="0" collapsed="false">
      <c r="A17" s="26" t="s">
        <v>138</v>
      </c>
      <c r="B17" s="27" t="s">
        <v>140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customFormat="false" ht="15" hidden="false" customHeight="false" outlineLevel="0" collapsed="false">
      <c r="A18" s="26" t="s">
        <v>138</v>
      </c>
      <c r="B18" s="27" t="s">
        <v>141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</sheetData>
  <mergeCells count="7">
    <mergeCell ref="A1:R1"/>
    <mergeCell ref="A2:R3"/>
    <mergeCell ref="A11:O11"/>
    <mergeCell ref="A12:O12"/>
    <mergeCell ref="B16:R16"/>
    <mergeCell ref="B17:R17"/>
    <mergeCell ref="B18:R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2026-06-01T08:46:52Z</dcterms:created>
  <dc:creator>openpyxl</dc:creator>
  <dc:description/>
  <dc:language>en-US</dc:language>
  <cp:lastModifiedBy/>
  <dcterms:modified xsi:type="dcterms:W3CDTF">2026-06-01T08:46:58Z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